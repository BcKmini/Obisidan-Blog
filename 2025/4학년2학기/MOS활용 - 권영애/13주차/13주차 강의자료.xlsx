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ena\Documents\수업자료\mos활용\2025\mos활용\"/>
    </mc:Choice>
  </mc:AlternateContent>
  <xr:revisionPtr revIDLastSave="0" documentId="13_ncr:1_{3A072D24-AC24-4A11-8087-F371FF4B977E}" xr6:coauthVersionLast="36" xr6:coauthVersionMax="43" xr10:uidLastSave="{00000000-0000-0000-0000-000000000000}"/>
  <bookViews>
    <workbookView xWindow="10310" yWindow="1590" windowWidth="17910" windowHeight="12210" firstSheet="8" activeTab="18" xr2:uid="{00000000-000D-0000-FFFF-FFFF00000000}"/>
  </bookViews>
  <sheets>
    <sheet name="AVERAGE" sheetId="4" r:id="rId1"/>
    <sheet name="MAX" sheetId="3" r:id="rId2"/>
    <sheet name="MIN" sheetId="34" r:id="rId3"/>
    <sheet name="LARGE" sheetId="35" r:id="rId4"/>
    <sheet name="SMALL" sheetId="36" r:id="rId5"/>
    <sheet name="COUNT" sheetId="6" r:id="rId6"/>
    <sheet name="COUNTA" sheetId="37" r:id="rId7"/>
    <sheet name="COUNTBLANK" sheetId="40" r:id="rId8"/>
    <sheet name="COUNTIF" sheetId="39" r:id="rId9"/>
    <sheet name="AVERAGEIF" sheetId="33" r:id="rId10"/>
    <sheet name="RANK" sheetId="7" r:id="rId11"/>
    <sheet name="VLOOKUP" sheetId="13" r:id="rId12"/>
    <sheet name="HLOOKUP" sheetId="41" r:id="rId13"/>
    <sheet name="vlookup, hlookup" sheetId="51" r:id="rId14"/>
    <sheet name="and, or" sheetId="52" r:id="rId15"/>
    <sheet name="text" sheetId="53" r:id="rId16"/>
    <sheet name="CHOOSE" sheetId="42" r:id="rId17"/>
    <sheet name="INDEX" sheetId="43" r:id="rId18"/>
    <sheet name="dsum" sheetId="54" r:id="rId19"/>
  </sheets>
  <definedNames>
    <definedName name="근속년수">'and, or'!$E$6:$E$14</definedName>
    <definedName name="나이">'and, or'!$D$6:$D$14</definedName>
    <definedName name="성별">'and, or'!$C$6:$C$14</definedName>
    <definedName name="엑셀">'and, or'!$G$6:$G$14</definedName>
    <definedName name="외국어">'and, or'!$F$6:$F$14</definedName>
    <definedName name="파포">'and, or'!$H$6:$H$14</definedName>
  </definedNames>
  <calcPr calcId="191029"/>
</workbook>
</file>

<file path=xl/calcChain.xml><?xml version="1.0" encoding="utf-8"?>
<calcChain xmlns="http://schemas.openxmlformats.org/spreadsheetml/2006/main">
  <c r="G19" i="51" l="1"/>
  <c r="G18" i="51"/>
  <c r="G17" i="51"/>
  <c r="G16" i="51"/>
  <c r="G15" i="51"/>
  <c r="G14" i="51"/>
  <c r="G13" i="51"/>
  <c r="G12" i="51"/>
  <c r="G11" i="51"/>
  <c r="G10" i="51"/>
  <c r="G9" i="51"/>
  <c r="G8" i="51"/>
  <c r="G7" i="51"/>
  <c r="G6" i="51"/>
  <c r="G5" i="51"/>
  <c r="G4" i="51"/>
  <c r="G3" i="51"/>
  <c r="C5" i="42" l="1"/>
  <c r="C4" i="42"/>
  <c r="C3" i="42"/>
</calcChain>
</file>

<file path=xl/sharedStrings.xml><?xml version="1.0" encoding="utf-8"?>
<sst xmlns="http://schemas.openxmlformats.org/spreadsheetml/2006/main" count="365" uniqueCount="179">
  <si>
    <t>평균</t>
    <phoneticPr fontId="2" type="noConversion"/>
  </si>
  <si>
    <t>과목</t>
    <phoneticPr fontId="3" type="noConversion"/>
  </si>
  <si>
    <t>담당강사</t>
    <phoneticPr fontId="3" type="noConversion"/>
  </si>
  <si>
    <t>수강료</t>
    <phoneticPr fontId="3" type="noConversion"/>
  </si>
  <si>
    <t>국사</t>
  </si>
  <si>
    <t>영어</t>
  </si>
  <si>
    <t>김태희</t>
  </si>
  <si>
    <t>국어</t>
    <phoneticPr fontId="2" type="noConversion"/>
  </si>
  <si>
    <t>한화</t>
    <phoneticPr fontId="2" type="noConversion"/>
  </si>
  <si>
    <t>두산</t>
    <phoneticPr fontId="2" type="noConversion"/>
  </si>
  <si>
    <t>롯데</t>
    <phoneticPr fontId="2" type="noConversion"/>
  </si>
  <si>
    <t>삼성</t>
    <phoneticPr fontId="2" type="noConversion"/>
  </si>
  <si>
    <t>구단명</t>
    <phoneticPr fontId="2" type="noConversion"/>
  </si>
  <si>
    <t>SK</t>
    <phoneticPr fontId="2" type="noConversion"/>
  </si>
  <si>
    <t>넥센</t>
    <phoneticPr fontId="2" type="noConversion"/>
  </si>
  <si>
    <t>LG</t>
    <phoneticPr fontId="2" type="noConversion"/>
  </si>
  <si>
    <t>기아</t>
    <phoneticPr fontId="2" type="noConversion"/>
  </si>
  <si>
    <t>올스타 참가</t>
    <phoneticPr fontId="2" type="noConversion"/>
  </si>
  <si>
    <t>참가구단수</t>
    <phoneticPr fontId="2" type="noConversion"/>
  </si>
  <si>
    <t>불참</t>
    <phoneticPr fontId="2" type="noConversion"/>
  </si>
  <si>
    <t>학번</t>
    <phoneticPr fontId="2" type="noConversion"/>
  </si>
  <si>
    <t>성적</t>
    <phoneticPr fontId="2" type="noConversion"/>
  </si>
  <si>
    <t>순위</t>
    <phoneticPr fontId="2" type="noConversion"/>
  </si>
  <si>
    <t>학번</t>
    <phoneticPr fontId="2" type="noConversion"/>
  </si>
  <si>
    <t>등급</t>
    <phoneticPr fontId="2" type="noConversion"/>
  </si>
  <si>
    <t>평가</t>
    <phoneticPr fontId="2" type="noConversion"/>
  </si>
  <si>
    <t>B</t>
    <phoneticPr fontId="2" type="noConversion"/>
  </si>
  <si>
    <t>A</t>
    <phoneticPr fontId="2" type="noConversion"/>
  </si>
  <si>
    <t>C</t>
    <phoneticPr fontId="2" type="noConversion"/>
  </si>
  <si>
    <t>매우 우수</t>
    <phoneticPr fontId="2" type="noConversion"/>
  </si>
  <si>
    <t>B</t>
    <phoneticPr fontId="2" type="noConversion"/>
  </si>
  <si>
    <t>우수</t>
    <phoneticPr fontId="2" type="noConversion"/>
  </si>
  <si>
    <t>C</t>
    <phoneticPr fontId="2" type="noConversion"/>
  </si>
  <si>
    <t>보통</t>
    <phoneticPr fontId="2" type="noConversion"/>
  </si>
  <si>
    <t>강원 전자 상반기 사원 평가</t>
    <phoneticPr fontId="2" type="noConversion"/>
  </si>
  <si>
    <t>이름</t>
    <phoneticPr fontId="2" type="noConversion"/>
  </si>
  <si>
    <t>부서명</t>
    <phoneticPr fontId="3" type="noConversion"/>
  </si>
  <si>
    <t>평가점수</t>
    <phoneticPr fontId="3" type="noConversion"/>
  </si>
  <si>
    <t>박찬호</t>
    <phoneticPr fontId="3" type="noConversion"/>
  </si>
  <si>
    <t>총무부</t>
    <phoneticPr fontId="2" type="noConversion"/>
  </si>
  <si>
    <t>김현수</t>
    <phoneticPr fontId="2" type="noConversion"/>
  </si>
  <si>
    <t>류현진</t>
    <phoneticPr fontId="2" type="noConversion"/>
  </si>
  <si>
    <t>기획실</t>
    <phoneticPr fontId="2" type="noConversion"/>
  </si>
  <si>
    <t>김태균</t>
    <phoneticPr fontId="3" type="noConversion"/>
  </si>
  <si>
    <t>이승엽</t>
    <phoneticPr fontId="2" type="noConversion"/>
  </si>
  <si>
    <t>영업1팀</t>
    <phoneticPr fontId="2" type="noConversion"/>
  </si>
  <si>
    <t>강민호</t>
    <phoneticPr fontId="2" type="noConversion"/>
  </si>
  <si>
    <t>영업2팀</t>
    <phoneticPr fontId="2" type="noConversion"/>
  </si>
  <si>
    <t>최고수강료</t>
    <phoneticPr fontId="2" type="noConversion"/>
  </si>
  <si>
    <t>총무부 평균</t>
    <phoneticPr fontId="2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</si>
  <si>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o</t>
    </r>
    <phoneticPr fontId="3" type="noConversion"/>
  </si>
  <si>
    <t>설민석</t>
    <phoneticPr fontId="2" type="noConversion"/>
  </si>
  <si>
    <t>노량진</t>
    <phoneticPr fontId="2" type="noConversion"/>
  </si>
  <si>
    <t>타일러</t>
    <phoneticPr fontId="2" type="noConversion"/>
  </si>
  <si>
    <t>대치동</t>
    <phoneticPr fontId="2" type="noConversion"/>
  </si>
  <si>
    <t>원어민</t>
    <phoneticPr fontId="2" type="noConversion"/>
  </si>
  <si>
    <t>최저수강료</t>
    <phoneticPr fontId="2" type="noConversion"/>
  </si>
  <si>
    <t>2번째로 비싼 수강료</t>
    <phoneticPr fontId="2" type="noConversion"/>
  </si>
  <si>
    <t>2번째로 싼 수강료</t>
    <phoneticPr fontId="2" type="noConversion"/>
  </si>
  <si>
    <t>전체구단수</t>
    <phoneticPr fontId="2" type="noConversion"/>
  </si>
  <si>
    <t>참가</t>
    <phoneticPr fontId="2" type="noConversion"/>
  </si>
  <si>
    <t>불참구단수</t>
    <phoneticPr fontId="2" type="noConversion"/>
  </si>
  <si>
    <t>과일</t>
    <phoneticPr fontId="2" type="noConversion"/>
  </si>
  <si>
    <t>판매량</t>
    <phoneticPr fontId="2" type="noConversion"/>
  </si>
  <si>
    <t>사과</t>
    <phoneticPr fontId="2" type="noConversion"/>
  </si>
  <si>
    <t>배</t>
    <phoneticPr fontId="2" type="noConversion"/>
  </si>
  <si>
    <t>귤</t>
    <phoneticPr fontId="2" type="noConversion"/>
  </si>
  <si>
    <t>감</t>
    <phoneticPr fontId="2" type="noConversion"/>
  </si>
  <si>
    <t>수박</t>
    <phoneticPr fontId="2" type="noConversion"/>
  </si>
  <si>
    <t>포도</t>
    <phoneticPr fontId="2" type="noConversion"/>
  </si>
  <si>
    <t>오렌지</t>
    <phoneticPr fontId="2" type="noConversion"/>
  </si>
  <si>
    <t>복숭아</t>
    <phoneticPr fontId="2" type="noConversion"/>
  </si>
  <si>
    <t>품목</t>
    <phoneticPr fontId="2" type="noConversion"/>
  </si>
  <si>
    <t>판정</t>
    <phoneticPr fontId="2" type="noConversion"/>
  </si>
  <si>
    <t>종류</t>
    <phoneticPr fontId="2" type="noConversion"/>
  </si>
  <si>
    <t>과일</t>
    <phoneticPr fontId="2" type="noConversion"/>
  </si>
  <si>
    <t>가전</t>
    <phoneticPr fontId="2" type="noConversion"/>
  </si>
  <si>
    <t>TV</t>
    <phoneticPr fontId="2" type="noConversion"/>
  </si>
  <si>
    <t>세탁기</t>
    <phoneticPr fontId="2" type="noConversion"/>
  </si>
  <si>
    <t>냉장고</t>
    <phoneticPr fontId="2" type="noConversion"/>
  </si>
  <si>
    <t>과일 품목 중 두번째 종류</t>
    <phoneticPr fontId="2" type="noConversion"/>
  </si>
  <si>
    <t>총무부 합계</t>
    <phoneticPr fontId="2" type="noConversion"/>
  </si>
  <si>
    <t>사과의 수</t>
    <phoneticPr fontId="2" type="noConversion"/>
  </si>
  <si>
    <t>판매량이 50이상의 과일 수</t>
    <phoneticPr fontId="2" type="noConversion"/>
  </si>
  <si>
    <t>일일 판매일보</t>
    <phoneticPr fontId="2" type="noConversion"/>
  </si>
  <si>
    <t>코드</t>
    <phoneticPr fontId="2" type="noConversion"/>
  </si>
  <si>
    <t>상품명</t>
    <phoneticPr fontId="2" type="noConversion"/>
  </si>
  <si>
    <t>단가</t>
    <phoneticPr fontId="2" type="noConversion"/>
  </si>
  <si>
    <t>수량</t>
    <phoneticPr fontId="2" type="noConversion"/>
  </si>
  <si>
    <t>할인율</t>
    <phoneticPr fontId="2" type="noConversion"/>
  </si>
  <si>
    <t>금액</t>
    <phoneticPr fontId="2" type="noConversion"/>
  </si>
  <si>
    <t>&lt;할인율 표&gt;</t>
    <phoneticPr fontId="2" type="noConversion"/>
  </si>
  <si>
    <t>강문옥</t>
    <phoneticPr fontId="2" type="noConversion"/>
  </si>
  <si>
    <t>FQ455</t>
    <phoneticPr fontId="2" type="noConversion"/>
  </si>
  <si>
    <t>김우진</t>
    <phoneticPr fontId="2" type="noConversion"/>
  </si>
  <si>
    <t>AB101</t>
    <phoneticPr fontId="2" type="noConversion"/>
  </si>
  <si>
    <t>나영희</t>
    <phoneticPr fontId="2" type="noConversion"/>
  </si>
  <si>
    <t>노미연</t>
    <phoneticPr fontId="2" type="noConversion"/>
  </si>
  <si>
    <t>BD103</t>
    <phoneticPr fontId="2" type="noConversion"/>
  </si>
  <si>
    <t>&lt;코드표&gt;</t>
    <phoneticPr fontId="2" type="noConversion"/>
  </si>
  <si>
    <t>문이정</t>
    <phoneticPr fontId="2" type="noConversion"/>
  </si>
  <si>
    <t>박연자</t>
    <phoneticPr fontId="2" type="noConversion"/>
  </si>
  <si>
    <t>BC301</t>
    <phoneticPr fontId="2" type="noConversion"/>
  </si>
  <si>
    <t>L자형책상</t>
    <phoneticPr fontId="2" type="noConversion"/>
  </si>
  <si>
    <t>성명훈</t>
    <phoneticPr fontId="2" type="noConversion"/>
  </si>
  <si>
    <t>일자형책상</t>
    <phoneticPr fontId="2" type="noConversion"/>
  </si>
  <si>
    <t>송난호</t>
    <phoneticPr fontId="2" type="noConversion"/>
  </si>
  <si>
    <t>ㄱ자책상</t>
    <phoneticPr fontId="2" type="noConversion"/>
  </si>
  <si>
    <t>송미라</t>
    <phoneticPr fontId="2" type="noConversion"/>
  </si>
  <si>
    <t>U형테이블</t>
    <phoneticPr fontId="2" type="noConversion"/>
  </si>
  <si>
    <t>이낙훈</t>
    <phoneticPr fontId="2" type="noConversion"/>
  </si>
  <si>
    <t>E4102</t>
    <phoneticPr fontId="2" type="noConversion"/>
  </si>
  <si>
    <t>사이드책상</t>
    <phoneticPr fontId="2" type="noConversion"/>
  </si>
  <si>
    <t>이미래</t>
    <phoneticPr fontId="2" type="noConversion"/>
  </si>
  <si>
    <t>전우민</t>
    <phoneticPr fontId="2" type="noConversion"/>
  </si>
  <si>
    <t>정의진</t>
    <phoneticPr fontId="2" type="noConversion"/>
  </si>
  <si>
    <t>최소라</t>
    <phoneticPr fontId="2" type="noConversion"/>
  </si>
  <si>
    <t>한국진</t>
    <phoneticPr fontId="2" type="noConversion"/>
  </si>
  <si>
    <t>홍인자</t>
    <phoneticPr fontId="2" type="noConversion"/>
  </si>
  <si>
    <t>황정수</t>
    <phoneticPr fontId="2" type="noConversion"/>
  </si>
  <si>
    <t>대 상 자 선 정</t>
    <phoneticPr fontId="2" type="noConversion"/>
  </si>
  <si>
    <t>담당자</t>
  </si>
  <si>
    <t>성별</t>
    <phoneticPr fontId="2" type="noConversion"/>
  </si>
  <si>
    <t>나이</t>
    <phoneticPr fontId="2" type="noConversion"/>
  </si>
  <si>
    <t>근속년수</t>
    <phoneticPr fontId="2" type="noConversion"/>
  </si>
  <si>
    <t>외국어</t>
    <phoneticPr fontId="2" type="noConversion"/>
  </si>
  <si>
    <t>엑셀</t>
    <phoneticPr fontId="2" type="noConversion"/>
  </si>
  <si>
    <t>파포</t>
    <phoneticPr fontId="2" type="noConversion"/>
  </si>
  <si>
    <t>대상(and)</t>
    <phoneticPr fontId="2" type="noConversion"/>
  </si>
  <si>
    <t>대상(or)</t>
    <phoneticPr fontId="2" type="noConversion"/>
  </si>
  <si>
    <t>선정결과</t>
    <phoneticPr fontId="2" type="noConversion"/>
  </si>
  <si>
    <t>호보석</t>
  </si>
  <si>
    <t>남</t>
    <phoneticPr fontId="2" type="noConversion"/>
  </si>
  <si>
    <t>영어</t>
    <phoneticPr fontId="2" type="noConversion"/>
  </si>
  <si>
    <t>O</t>
    <phoneticPr fontId="2" type="noConversion"/>
  </si>
  <si>
    <t>강누리</t>
  </si>
  <si>
    <t>여</t>
    <phoneticPr fontId="2" type="noConversion"/>
  </si>
  <si>
    <t>일어</t>
  </si>
  <si>
    <t>노이슬</t>
  </si>
  <si>
    <t>중국어</t>
  </si>
  <si>
    <t>최은호</t>
    <phoneticPr fontId="2" type="noConversion"/>
  </si>
  <si>
    <t>김느티</t>
    <phoneticPr fontId="2" type="noConversion"/>
  </si>
  <si>
    <t>최소라</t>
  </si>
  <si>
    <t>강단비</t>
  </si>
  <si>
    <t>박영원</t>
    <phoneticPr fontId="2" type="noConversion"/>
  </si>
  <si>
    <t>서보석</t>
  </si>
  <si>
    <t>명 부</t>
    <phoneticPr fontId="2" type="noConversion"/>
  </si>
  <si>
    <t>이름</t>
    <phoneticPr fontId="13" type="noConversion"/>
  </si>
  <si>
    <t>주민등록번호</t>
    <phoneticPr fontId="2" type="noConversion"/>
  </si>
  <si>
    <t>출생연도</t>
    <phoneticPr fontId="2" type="noConversion"/>
  </si>
  <si>
    <t>출생월</t>
    <phoneticPr fontId="2" type="noConversion"/>
  </si>
  <si>
    <t>출생일</t>
    <phoneticPr fontId="2" type="noConversion"/>
  </si>
  <si>
    <t>박지훈</t>
  </si>
  <si>
    <t>-</t>
    <phoneticPr fontId="2" type="noConversion"/>
  </si>
  <si>
    <t>1234567</t>
  </si>
  <si>
    <t>유준혁</t>
  </si>
  <si>
    <t>이서연</t>
  </si>
  <si>
    <t>김민준</t>
  </si>
  <si>
    <t>최서현</t>
  </si>
  <si>
    <t>2134567</t>
  </si>
  <si>
    <t>박현우</t>
  </si>
  <si>
    <t>정시우</t>
  </si>
  <si>
    <t>이은서</t>
  </si>
  <si>
    <t>오서윤</t>
  </si>
  <si>
    <t>합계</t>
    <phoneticPr fontId="2" type="noConversion"/>
  </si>
  <si>
    <t>지역</t>
  </si>
  <si>
    <t>아동복지시설</t>
  </si>
  <si>
    <t>노인복지시설</t>
  </si>
  <si>
    <t>장애인복지시설</t>
  </si>
  <si>
    <t>여성복지시설</t>
  </si>
  <si>
    <t>서울</t>
  </si>
  <si>
    <t>경기</t>
  </si>
  <si>
    <t>인천</t>
  </si>
  <si>
    <t>대구</t>
  </si>
  <si>
    <t>대전</t>
  </si>
  <si>
    <t>제주</t>
  </si>
  <si>
    <t>강원</t>
  </si>
  <si>
    <t>지역</t>
    <phoneticPr fontId="2" type="noConversion"/>
  </si>
  <si>
    <t>경기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</si>
</sst>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_(* #,##0_);_(* \(#,##0\);_(* &quot;-&quot;_);_(@_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2" tint="-0.89999084444715716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Web Wulnungdo nw10"/>
      <family val="1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1" fillId="0" borderId="0"/>
  </cellStyleXfs>
  <cellXfs count="5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41" fontId="0" fillId="0" borderId="1" xfId="2" applyFont="1" applyBorder="1" applyAlignment="1">
      <alignment vertical="center"/>
    </xf>
    <xf numFmtId="9" fontId="0" fillId="0" borderId="1" xfId="3" applyFon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NumberFormat="1" applyFill="1" applyBorder="1" applyAlignment="1">
      <alignment horizontal="center" vertical="center"/>
    </xf>
    <xf numFmtId="0" fontId="0" fillId="5" borderId="6" xfId="0" applyNumberFormat="1" applyFill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6" xfId="2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41" fontId="0" fillId="0" borderId="12" xfId="2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9" xfId="2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177" fontId="0" fillId="0" borderId="1" xfId="4" applyFont="1" applyFill="1" applyBorder="1">
      <alignment vertical="center"/>
    </xf>
    <xf numFmtId="177" fontId="0" fillId="0" borderId="1" xfId="4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10" fillId="7" borderId="1" xfId="0" applyFont="1" applyFill="1" applyBorder="1">
      <alignment vertical="center"/>
    </xf>
    <xf numFmtId="0" fontId="10" fillId="0" borderId="0" xfId="0" quotePrefix="1" applyFont="1">
      <alignment vertical="center"/>
    </xf>
    <xf numFmtId="0" fontId="12" fillId="8" borderId="10" xfId="5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0" fontId="14" fillId="0" borderId="3" xfId="5" applyFont="1" applyFill="1" applyBorder="1" applyAlignment="1">
      <alignment horizontal="center" vertical="center"/>
    </xf>
    <xf numFmtId="0" fontId="14" fillId="0" borderId="14" xfId="5" quotePrefix="1" applyFont="1" applyFill="1" applyBorder="1" applyAlignment="1">
      <alignment horizontal="center" vertical="center"/>
    </xf>
    <xf numFmtId="0" fontId="14" fillId="0" borderId="15" xfId="5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8" borderId="14" xfId="5" applyFont="1" applyFill="1" applyBorder="1" applyAlignment="1">
      <alignment horizontal="center" vertical="center"/>
    </xf>
    <xf numFmtId="0" fontId="12" fillId="8" borderId="15" xfId="5" applyFont="1" applyFill="1" applyBorder="1" applyAlignment="1">
      <alignment horizontal="center" vertical="center"/>
    </xf>
  </cellXfs>
  <cellStyles count="6">
    <cellStyle name="40% - 강조색3" xfId="1" builtinId="39"/>
    <cellStyle name="백분율" xfId="3" builtinId="5"/>
    <cellStyle name="쉼표 [0]" xfId="2" builtinId="6"/>
    <cellStyle name="쉼표 [0] 2" xfId="4" xr:uid="{9644DF99-BF19-450C-A9E5-D7FF3DE28A71}"/>
    <cellStyle name="표준" xfId="0" builtinId="0"/>
    <cellStyle name="표준_직원" xfId="5" xr:uid="{1ED5CCA2-5AD3-4B47-8656-44189A91AE2A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3:C11"/>
  <sheetViews>
    <sheetView workbookViewId="0">
      <selection activeCell="Q17" sqref="Q17"/>
    </sheetView>
  </sheetViews>
  <sheetFormatPr defaultRowHeight="17"/>
  <cols>
    <col min="3" max="3" width="9" bestFit="1" customWidth="1"/>
    <col min="7" max="7" width="11.83203125" bestFit="1" customWidth="1"/>
    <col min="8" max="8" width="7.5" bestFit="1" customWidth="1"/>
    <col min="9" max="10" width="5.5" bestFit="1" customWidth="1"/>
    <col min="11" max="11" width="5.58203125" bestFit="1" customWidth="1"/>
    <col min="12" max="12" width="7.33203125" bestFit="1" customWidth="1"/>
    <col min="13" max="14" width="8.5" bestFit="1" customWidth="1"/>
    <col min="15" max="16" width="7.33203125" bestFit="1" customWidth="1"/>
    <col min="17" max="18" width="8.5" bestFit="1" customWidth="1"/>
    <col min="19" max="19" width="7.33203125" bestFit="1" customWidth="1"/>
    <col min="20" max="21" width="9.83203125" bestFit="1" customWidth="1"/>
    <col min="22" max="22" width="14.5" bestFit="1" customWidth="1"/>
  </cols>
  <sheetData>
    <row r="3" spans="1:3">
      <c r="A3" s="2" t="s">
        <v>35</v>
      </c>
      <c r="B3" s="2" t="s">
        <v>36</v>
      </c>
      <c r="C3" s="2" t="s">
        <v>37</v>
      </c>
    </row>
    <row r="4" spans="1:3">
      <c r="A4" s="3" t="s">
        <v>46</v>
      </c>
      <c r="B4" s="3" t="s">
        <v>47</v>
      </c>
      <c r="C4" s="1">
        <v>75</v>
      </c>
    </row>
    <row r="5" spans="1:3">
      <c r="A5" s="3" t="s">
        <v>43</v>
      </c>
      <c r="B5" s="3" t="s">
        <v>42</v>
      </c>
      <c r="C5" s="1">
        <v>90</v>
      </c>
    </row>
    <row r="6" spans="1:3">
      <c r="A6" s="3" t="s">
        <v>40</v>
      </c>
      <c r="B6" s="3" t="s">
        <v>39</v>
      </c>
      <c r="C6" s="1">
        <v>88</v>
      </c>
    </row>
    <row r="7" spans="1:3">
      <c r="A7" s="3" t="s">
        <v>41</v>
      </c>
      <c r="B7" s="3" t="s">
        <v>42</v>
      </c>
      <c r="C7" s="1">
        <v>99</v>
      </c>
    </row>
    <row r="8" spans="1:3">
      <c r="A8" s="3" t="s">
        <v>38</v>
      </c>
      <c r="B8" s="3" t="s">
        <v>39</v>
      </c>
      <c r="C8" s="1">
        <v>95</v>
      </c>
    </row>
    <row r="9" spans="1:3">
      <c r="A9" s="3" t="s">
        <v>44</v>
      </c>
      <c r="B9" s="3" t="s">
        <v>45</v>
      </c>
      <c r="C9" s="1">
        <v>98</v>
      </c>
    </row>
    <row r="10" spans="1:3">
      <c r="A10" s="48" t="s">
        <v>164</v>
      </c>
      <c r="B10" s="49"/>
      <c r="C10" s="6"/>
    </row>
    <row r="11" spans="1:3">
      <c r="A11" s="48" t="s">
        <v>0</v>
      </c>
      <c r="B11" s="49"/>
      <c r="C11" s="6"/>
    </row>
  </sheetData>
  <sortState ref="A4:C9">
    <sortCondition ref="A3"/>
  </sortState>
  <mergeCells count="2">
    <mergeCell ref="A10:B10"/>
    <mergeCell ref="A11:B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9"/>
  <sheetViews>
    <sheetView workbookViewId="0">
      <selection activeCell="D22" sqref="D22"/>
    </sheetView>
  </sheetViews>
  <sheetFormatPr defaultRowHeight="17"/>
  <cols>
    <col min="4" max="4" width="10.5" bestFit="1" customWidth="1"/>
  </cols>
  <sheetData>
    <row r="2" spans="1:4">
      <c r="A2" s="2" t="s">
        <v>50</v>
      </c>
      <c r="B2" s="2" t="s">
        <v>1</v>
      </c>
      <c r="C2" s="2" t="s">
        <v>2</v>
      </c>
      <c r="D2" s="2" t="s">
        <v>3</v>
      </c>
    </row>
    <row r="3" spans="1:4">
      <c r="A3" s="3">
        <v>1</v>
      </c>
      <c r="B3" s="3" t="s">
        <v>7</v>
      </c>
      <c r="C3" s="3" t="s">
        <v>52</v>
      </c>
      <c r="D3" s="1">
        <v>140000</v>
      </c>
    </row>
    <row r="4" spans="1:4">
      <c r="A4" s="3">
        <v>2</v>
      </c>
      <c r="B4" s="3" t="s">
        <v>4</v>
      </c>
      <c r="C4" s="3" t="s">
        <v>51</v>
      </c>
      <c r="D4" s="1">
        <v>80000</v>
      </c>
    </row>
    <row r="5" spans="1:4">
      <c r="A5" s="3">
        <v>3</v>
      </c>
      <c r="B5" s="3" t="s">
        <v>5</v>
      </c>
      <c r="C5" s="3" t="s">
        <v>55</v>
      </c>
      <c r="D5" s="1">
        <v>120000</v>
      </c>
    </row>
    <row r="6" spans="1:4">
      <c r="A6" s="3">
        <v>4</v>
      </c>
      <c r="B6" s="3" t="s">
        <v>5</v>
      </c>
      <c r="C6" s="3" t="s">
        <v>53</v>
      </c>
      <c r="D6" s="1">
        <v>130000</v>
      </c>
    </row>
    <row r="7" spans="1:4">
      <c r="A7" s="3">
        <v>5</v>
      </c>
      <c r="B7" s="3" t="s">
        <v>7</v>
      </c>
      <c r="C7" s="3" t="s">
        <v>54</v>
      </c>
      <c r="D7" s="1">
        <v>140000</v>
      </c>
    </row>
    <row r="8" spans="1:4">
      <c r="A8" s="3">
        <v>6</v>
      </c>
      <c r="B8" s="3" t="s">
        <v>5</v>
      </c>
      <c r="C8" s="3" t="s">
        <v>6</v>
      </c>
      <c r="D8" s="1">
        <v>150000</v>
      </c>
    </row>
    <row r="9" spans="1:4">
      <c r="A9" s="50" t="s">
        <v>48</v>
      </c>
      <c r="B9" s="50"/>
      <c r="C9" s="50"/>
      <c r="D9" s="1"/>
    </row>
  </sheetData>
  <mergeCells count="1">
    <mergeCell ref="A9:C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9"/>
  <sheetViews>
    <sheetView workbookViewId="0">
      <selection activeCell="D9" sqref="D9"/>
    </sheetView>
  </sheetViews>
  <sheetFormatPr defaultRowHeight="17"/>
  <cols>
    <col min="4" max="4" width="10.5" bestFit="1" customWidth="1"/>
  </cols>
  <sheetData>
    <row r="2" spans="1:4">
      <c r="A2" s="2" t="s">
        <v>50</v>
      </c>
      <c r="B2" s="2" t="s">
        <v>1</v>
      </c>
      <c r="C2" s="2" t="s">
        <v>2</v>
      </c>
      <c r="D2" s="2" t="s">
        <v>3</v>
      </c>
    </row>
    <row r="3" spans="1:4">
      <c r="A3" s="3">
        <v>1</v>
      </c>
      <c r="B3" s="3" t="s">
        <v>7</v>
      </c>
      <c r="C3" s="3" t="s">
        <v>52</v>
      </c>
      <c r="D3" s="1">
        <v>140000</v>
      </c>
    </row>
    <row r="4" spans="1:4">
      <c r="A4" s="3">
        <v>2</v>
      </c>
      <c r="B4" s="3" t="s">
        <v>4</v>
      </c>
      <c r="C4" s="3" t="s">
        <v>51</v>
      </c>
      <c r="D4" s="1">
        <v>80000</v>
      </c>
    </row>
    <row r="5" spans="1:4">
      <c r="A5" s="3">
        <v>3</v>
      </c>
      <c r="B5" s="3" t="s">
        <v>5</v>
      </c>
      <c r="C5" s="3" t="s">
        <v>55</v>
      </c>
      <c r="D5" s="1">
        <v>120000</v>
      </c>
    </row>
    <row r="6" spans="1:4">
      <c r="A6" s="3">
        <v>4</v>
      </c>
      <c r="B6" s="3" t="s">
        <v>5</v>
      </c>
      <c r="C6" s="3" t="s">
        <v>53</v>
      </c>
      <c r="D6" s="1">
        <v>130000</v>
      </c>
    </row>
    <row r="7" spans="1:4">
      <c r="A7" s="3">
        <v>5</v>
      </c>
      <c r="B7" s="3" t="s">
        <v>7</v>
      </c>
      <c r="C7" s="3" t="s">
        <v>54</v>
      </c>
      <c r="D7" s="1">
        <v>140000</v>
      </c>
    </row>
    <row r="8" spans="1:4">
      <c r="A8" s="3">
        <v>6</v>
      </c>
      <c r="B8" s="3" t="s">
        <v>5</v>
      </c>
      <c r="C8" s="3" t="s">
        <v>6</v>
      </c>
      <c r="D8" s="1">
        <v>150000</v>
      </c>
    </row>
    <row r="9" spans="1:4">
      <c r="A9" s="50" t="s">
        <v>56</v>
      </c>
      <c r="B9" s="50"/>
      <c r="C9" s="50"/>
      <c r="D9" s="1"/>
    </row>
  </sheetData>
  <mergeCells count="1">
    <mergeCell ref="A9:C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9"/>
  <sheetViews>
    <sheetView workbookViewId="0">
      <selection activeCell="D9" sqref="D9"/>
    </sheetView>
  </sheetViews>
  <sheetFormatPr defaultRowHeight="17"/>
  <cols>
    <col min="4" max="4" width="10.5" bestFit="1" customWidth="1"/>
  </cols>
  <sheetData>
    <row r="2" spans="1:4">
      <c r="A2" s="2" t="s">
        <v>50</v>
      </c>
      <c r="B2" s="2" t="s">
        <v>1</v>
      </c>
      <c r="C2" s="2" t="s">
        <v>2</v>
      </c>
      <c r="D2" s="2" t="s">
        <v>3</v>
      </c>
    </row>
    <row r="3" spans="1:4">
      <c r="A3" s="3">
        <v>1</v>
      </c>
      <c r="B3" s="3" t="s">
        <v>7</v>
      </c>
      <c r="C3" s="3" t="s">
        <v>52</v>
      </c>
      <c r="D3" s="1">
        <v>140000</v>
      </c>
    </row>
    <row r="4" spans="1:4">
      <c r="A4" s="3">
        <v>2</v>
      </c>
      <c r="B4" s="3" t="s">
        <v>4</v>
      </c>
      <c r="C4" s="3" t="s">
        <v>51</v>
      </c>
      <c r="D4" s="1">
        <v>80000</v>
      </c>
    </row>
    <row r="5" spans="1:4">
      <c r="A5" s="3">
        <v>3</v>
      </c>
      <c r="B5" s="3" t="s">
        <v>5</v>
      </c>
      <c r="C5" s="3" t="s">
        <v>55</v>
      </c>
      <c r="D5" s="1">
        <v>120000</v>
      </c>
    </row>
    <row r="6" spans="1:4">
      <c r="A6" s="3">
        <v>4</v>
      </c>
      <c r="B6" s="3" t="s">
        <v>5</v>
      </c>
      <c r="C6" s="3" t="s">
        <v>53</v>
      </c>
      <c r="D6" s="1">
        <v>130000</v>
      </c>
    </row>
    <row r="7" spans="1:4">
      <c r="A7" s="3">
        <v>5</v>
      </c>
      <c r="B7" s="3" t="s">
        <v>7</v>
      </c>
      <c r="C7" s="3" t="s">
        <v>54</v>
      </c>
      <c r="D7" s="1">
        <v>140000</v>
      </c>
    </row>
    <row r="8" spans="1:4">
      <c r="A8" s="3">
        <v>6</v>
      </c>
      <c r="B8" s="3" t="s">
        <v>5</v>
      </c>
      <c r="C8" s="3" t="s">
        <v>6</v>
      </c>
      <c r="D8" s="1">
        <v>150000</v>
      </c>
    </row>
    <row r="9" spans="1:4">
      <c r="A9" s="50" t="s">
        <v>57</v>
      </c>
      <c r="B9" s="50"/>
      <c r="C9" s="50"/>
      <c r="D9" s="1"/>
    </row>
  </sheetData>
  <mergeCells count="1">
    <mergeCell ref="A9:C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9"/>
  <sheetViews>
    <sheetView workbookViewId="0">
      <selection activeCell="D9" sqref="D9"/>
    </sheetView>
  </sheetViews>
  <sheetFormatPr defaultRowHeight="17"/>
  <cols>
    <col min="4" max="4" width="10.5" bestFit="1" customWidth="1"/>
  </cols>
  <sheetData>
    <row r="2" spans="1:4">
      <c r="A2" s="2" t="s">
        <v>50</v>
      </c>
      <c r="B2" s="2" t="s">
        <v>1</v>
      </c>
      <c r="C2" s="2" t="s">
        <v>2</v>
      </c>
      <c r="D2" s="2" t="s">
        <v>3</v>
      </c>
    </row>
    <row r="3" spans="1:4">
      <c r="A3" s="3">
        <v>1</v>
      </c>
      <c r="B3" s="3" t="s">
        <v>7</v>
      </c>
      <c r="C3" s="3" t="s">
        <v>52</v>
      </c>
      <c r="D3" s="1">
        <v>140000</v>
      </c>
    </row>
    <row r="4" spans="1:4">
      <c r="A4" s="3">
        <v>2</v>
      </c>
      <c r="B4" s="3" t="s">
        <v>4</v>
      </c>
      <c r="C4" s="3" t="s">
        <v>51</v>
      </c>
      <c r="D4" s="1">
        <v>80000</v>
      </c>
    </row>
    <row r="5" spans="1:4">
      <c r="A5" s="3">
        <v>3</v>
      </c>
      <c r="B5" s="3" t="s">
        <v>5</v>
      </c>
      <c r="C5" s="3" t="s">
        <v>55</v>
      </c>
      <c r="D5" s="1">
        <v>120000</v>
      </c>
    </row>
    <row r="6" spans="1:4">
      <c r="A6" s="3">
        <v>4</v>
      </c>
      <c r="B6" s="3" t="s">
        <v>5</v>
      </c>
      <c r="C6" s="3" t="s">
        <v>53</v>
      </c>
      <c r="D6" s="1">
        <v>130000</v>
      </c>
    </row>
    <row r="7" spans="1:4">
      <c r="A7" s="3">
        <v>5</v>
      </c>
      <c r="B7" s="3" t="s">
        <v>7</v>
      </c>
      <c r="C7" s="3" t="s">
        <v>54</v>
      </c>
      <c r="D7" s="1">
        <v>140000</v>
      </c>
    </row>
    <row r="8" spans="1:4">
      <c r="A8" s="3">
        <v>6</v>
      </c>
      <c r="B8" s="3" t="s">
        <v>5</v>
      </c>
      <c r="C8" s="3" t="s">
        <v>6</v>
      </c>
      <c r="D8" s="1">
        <v>150000</v>
      </c>
    </row>
    <row r="9" spans="1:4">
      <c r="A9" s="50" t="s">
        <v>58</v>
      </c>
      <c r="B9" s="50"/>
      <c r="C9" s="50"/>
      <c r="D9" s="1"/>
    </row>
  </sheetData>
  <mergeCells count="1">
    <mergeCell ref="A9:C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11"/>
  <sheetViews>
    <sheetView workbookViewId="0">
      <selection activeCell="B11" sqref="B11"/>
    </sheetView>
  </sheetViews>
  <sheetFormatPr defaultRowHeight="17"/>
  <cols>
    <col min="1" max="1" width="11.25" bestFit="1" customWidth="1"/>
    <col min="2" max="2" width="11.58203125" bestFit="1" customWidth="1"/>
  </cols>
  <sheetData>
    <row r="2" spans="1:2">
      <c r="A2" s="2" t="s">
        <v>12</v>
      </c>
      <c r="B2" s="2" t="s">
        <v>17</v>
      </c>
    </row>
    <row r="3" spans="1:2">
      <c r="A3" s="3" t="s">
        <v>8</v>
      </c>
      <c r="B3" s="3" t="s">
        <v>19</v>
      </c>
    </row>
    <row r="4" spans="1:2">
      <c r="A4" s="3" t="s">
        <v>9</v>
      </c>
      <c r="B4" s="4">
        <v>1</v>
      </c>
    </row>
    <row r="5" spans="1:2">
      <c r="A5" s="3" t="s">
        <v>10</v>
      </c>
      <c r="B5" s="3" t="s">
        <v>19</v>
      </c>
    </row>
    <row r="6" spans="1:2">
      <c r="A6" s="3" t="s">
        <v>11</v>
      </c>
      <c r="B6" s="4">
        <v>1</v>
      </c>
    </row>
    <row r="7" spans="1:2">
      <c r="A7" s="3" t="s">
        <v>13</v>
      </c>
      <c r="B7" s="4">
        <v>1</v>
      </c>
    </row>
    <row r="8" spans="1:2">
      <c r="A8" s="3" t="s">
        <v>14</v>
      </c>
      <c r="B8" s="4">
        <v>1</v>
      </c>
    </row>
    <row r="9" spans="1:2">
      <c r="A9" s="3" t="s">
        <v>15</v>
      </c>
      <c r="B9" s="3" t="s">
        <v>19</v>
      </c>
    </row>
    <row r="10" spans="1:2">
      <c r="A10" s="3" t="s">
        <v>16</v>
      </c>
      <c r="B10" s="4">
        <v>1</v>
      </c>
    </row>
    <row r="11" spans="1:2">
      <c r="A11" s="2" t="s">
        <v>18</v>
      </c>
      <c r="B11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11"/>
  <sheetViews>
    <sheetView workbookViewId="0">
      <selection activeCell="H29" sqref="H29"/>
    </sheetView>
  </sheetViews>
  <sheetFormatPr defaultRowHeight="17"/>
  <cols>
    <col min="1" max="1" width="11.25" bestFit="1" customWidth="1"/>
    <col min="2" max="2" width="11.58203125" bestFit="1" customWidth="1"/>
  </cols>
  <sheetData>
    <row r="2" spans="1:2">
      <c r="A2" s="2" t="s">
        <v>12</v>
      </c>
      <c r="B2" s="2" t="s">
        <v>17</v>
      </c>
    </row>
    <row r="3" spans="1:2">
      <c r="A3" s="3" t="s">
        <v>8</v>
      </c>
      <c r="B3" s="3" t="b">
        <v>0</v>
      </c>
    </row>
    <row r="4" spans="1:2">
      <c r="A4" s="3" t="s">
        <v>9</v>
      </c>
      <c r="B4" s="4">
        <v>1</v>
      </c>
    </row>
    <row r="5" spans="1:2">
      <c r="A5" s="3" t="s">
        <v>10</v>
      </c>
      <c r="B5" s="3" t="s">
        <v>19</v>
      </c>
    </row>
    <row r="6" spans="1:2">
      <c r="A6" s="3" t="s">
        <v>11</v>
      </c>
      <c r="B6" s="3" t="e">
        <v>#VALUE!</v>
      </c>
    </row>
    <row r="7" spans="1:2">
      <c r="A7" s="3" t="s">
        <v>13</v>
      </c>
      <c r="B7" s="4">
        <v>1</v>
      </c>
    </row>
    <row r="8" spans="1:2">
      <c r="A8" s="3" t="s">
        <v>14</v>
      </c>
      <c r="B8" s="4">
        <v>1</v>
      </c>
    </row>
    <row r="9" spans="1:2">
      <c r="A9" s="3" t="s">
        <v>15</v>
      </c>
      <c r="B9" s="3" t="s">
        <v>19</v>
      </c>
    </row>
    <row r="10" spans="1:2">
      <c r="A10" s="3" t="s">
        <v>16</v>
      </c>
      <c r="B10" s="3" t="b">
        <v>1</v>
      </c>
    </row>
    <row r="11" spans="1:2">
      <c r="A11" s="2" t="s">
        <v>59</v>
      </c>
      <c r="B1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11"/>
  <sheetViews>
    <sheetView workbookViewId="0">
      <selection activeCell="B11" sqref="B11"/>
    </sheetView>
  </sheetViews>
  <sheetFormatPr defaultRowHeight="17"/>
  <cols>
    <col min="1" max="1" width="11.25" bestFit="1" customWidth="1"/>
    <col min="2" max="2" width="11.58203125" bestFit="1" customWidth="1"/>
  </cols>
  <sheetData>
    <row r="2" spans="1:2">
      <c r="A2" s="2" t="s">
        <v>12</v>
      </c>
      <c r="B2" s="2" t="s">
        <v>17</v>
      </c>
    </row>
    <row r="3" spans="1:2">
      <c r="A3" s="3" t="s">
        <v>8</v>
      </c>
      <c r="B3" s="3"/>
    </row>
    <row r="4" spans="1:2">
      <c r="A4" s="3" t="s">
        <v>9</v>
      </c>
      <c r="B4" s="3" t="s">
        <v>60</v>
      </c>
    </row>
    <row r="5" spans="1:2">
      <c r="A5" s="3" t="s">
        <v>10</v>
      </c>
      <c r="B5" s="3"/>
    </row>
    <row r="6" spans="1:2">
      <c r="A6" s="3" t="s">
        <v>11</v>
      </c>
      <c r="B6" s="3"/>
    </row>
    <row r="7" spans="1:2">
      <c r="A7" s="3" t="s">
        <v>13</v>
      </c>
      <c r="B7" s="3" t="s">
        <v>60</v>
      </c>
    </row>
    <row r="8" spans="1:2">
      <c r="A8" s="3" t="s">
        <v>14</v>
      </c>
      <c r="B8" s="3" t="s">
        <v>60</v>
      </c>
    </row>
    <row r="9" spans="1:2">
      <c r="A9" s="3" t="s">
        <v>15</v>
      </c>
      <c r="B9" s="3"/>
    </row>
    <row r="10" spans="1:2">
      <c r="A10" s="3" t="s">
        <v>16</v>
      </c>
      <c r="B10" s="3" t="s">
        <v>60</v>
      </c>
    </row>
    <row r="11" spans="1:2">
      <c r="A11" s="2" t="s">
        <v>61</v>
      </c>
      <c r="B11" s="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12"/>
  <sheetViews>
    <sheetView workbookViewId="0">
      <selection activeCell="A2" sqref="A2:B10"/>
    </sheetView>
  </sheetViews>
  <sheetFormatPr defaultRowHeight="17"/>
  <cols>
    <col min="1" max="1" width="26" customWidth="1"/>
    <col min="2" max="2" width="11.58203125" bestFit="1" customWidth="1"/>
  </cols>
  <sheetData>
    <row r="2" spans="1:2">
      <c r="A2" s="2" t="s">
        <v>62</v>
      </c>
      <c r="B2" s="2" t="s">
        <v>63</v>
      </c>
    </row>
    <row r="3" spans="1:2">
      <c r="A3" s="3" t="s">
        <v>64</v>
      </c>
      <c r="B3" s="3">
        <v>55</v>
      </c>
    </row>
    <row r="4" spans="1:2">
      <c r="A4" s="3" t="s">
        <v>64</v>
      </c>
      <c r="B4" s="3">
        <v>40</v>
      </c>
    </row>
    <row r="5" spans="1:2">
      <c r="A5" s="3" t="s">
        <v>66</v>
      </c>
      <c r="B5" s="3">
        <v>90</v>
      </c>
    </row>
    <row r="6" spans="1:2">
      <c r="A6" s="3" t="s">
        <v>67</v>
      </c>
      <c r="B6" s="3">
        <v>30</v>
      </c>
    </row>
    <row r="7" spans="1:2">
      <c r="A7" s="3" t="s">
        <v>68</v>
      </c>
      <c r="B7" s="3">
        <v>115</v>
      </c>
    </row>
    <row r="8" spans="1:2">
      <c r="A8" s="3" t="s">
        <v>69</v>
      </c>
      <c r="B8" s="3">
        <v>49</v>
      </c>
    </row>
    <row r="9" spans="1:2">
      <c r="A9" s="3" t="s">
        <v>70</v>
      </c>
      <c r="B9" s="3">
        <v>55</v>
      </c>
    </row>
    <row r="10" spans="1:2">
      <c r="A10" s="3" t="s">
        <v>71</v>
      </c>
      <c r="B10" s="3">
        <v>40</v>
      </c>
    </row>
    <row r="11" spans="1:2">
      <c r="A11" s="2" t="s">
        <v>83</v>
      </c>
      <c r="B11" s="3"/>
    </row>
    <row r="12" spans="1:2">
      <c r="A12" s="9" t="s">
        <v>82</v>
      </c>
      <c r="B12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workbookViewId="0">
      <selection activeCell="N30" sqref="N30"/>
    </sheetView>
  </sheetViews>
  <sheetFormatPr defaultRowHeight="17"/>
  <cols>
    <col min="3" max="3" width="9" bestFit="1" customWidth="1"/>
  </cols>
  <sheetData>
    <row r="2" spans="1:3">
      <c r="A2" s="50" t="s">
        <v>34</v>
      </c>
      <c r="B2" s="50"/>
      <c r="C2" s="50"/>
    </row>
    <row r="3" spans="1:3">
      <c r="A3" s="2" t="s">
        <v>35</v>
      </c>
      <c r="B3" s="2" t="s">
        <v>36</v>
      </c>
      <c r="C3" s="2" t="s">
        <v>37</v>
      </c>
    </row>
    <row r="4" spans="1:3">
      <c r="A4" s="3" t="s">
        <v>38</v>
      </c>
      <c r="B4" s="3" t="s">
        <v>39</v>
      </c>
      <c r="C4" s="1">
        <v>95</v>
      </c>
    </row>
    <row r="5" spans="1:3">
      <c r="A5" s="3" t="s">
        <v>40</v>
      </c>
      <c r="B5" s="3" t="s">
        <v>39</v>
      </c>
      <c r="C5" s="1">
        <v>88</v>
      </c>
    </row>
    <row r="6" spans="1:3">
      <c r="A6" s="3" t="s">
        <v>41</v>
      </c>
      <c r="B6" s="3" t="s">
        <v>42</v>
      </c>
      <c r="C6" s="1">
        <v>99</v>
      </c>
    </row>
    <row r="7" spans="1:3">
      <c r="A7" s="3" t="s">
        <v>44</v>
      </c>
      <c r="B7" s="3" t="s">
        <v>45</v>
      </c>
      <c r="C7" s="1">
        <v>98</v>
      </c>
    </row>
    <row r="8" spans="1:3">
      <c r="A8" s="3" t="s">
        <v>46</v>
      </c>
      <c r="B8" s="3" t="s">
        <v>47</v>
      </c>
      <c r="C8" s="1">
        <v>75</v>
      </c>
    </row>
    <row r="9" spans="1:3">
      <c r="A9" s="3" t="s">
        <v>43</v>
      </c>
      <c r="B9" s="3" t="s">
        <v>42</v>
      </c>
      <c r="C9" s="1">
        <v>90</v>
      </c>
    </row>
    <row r="10" spans="1:3">
      <c r="A10" s="50" t="s">
        <v>49</v>
      </c>
      <c r="B10" s="50"/>
      <c r="C10" s="1"/>
    </row>
    <row r="11" spans="1:3">
      <c r="A11" s="51" t="s">
        <v>81</v>
      </c>
      <c r="B11" s="52"/>
      <c r="C11" s="10"/>
    </row>
  </sheetData>
  <mergeCells count="3">
    <mergeCell ref="A2:C2"/>
    <mergeCell ref="A10:B10"/>
    <mergeCell ref="A11:B1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9"/>
  <sheetViews>
    <sheetView workbookViewId="0">
      <selection activeCell="A31" sqref="A31"/>
    </sheetView>
  </sheetViews>
  <sheetFormatPr defaultRowHeight="17"/>
  <sheetData>
    <row r="2" spans="1:3">
      <c r="A2" s="2" t="s">
        <v>20</v>
      </c>
      <c r="B2" s="2" t="s">
        <v>21</v>
      </c>
      <c r="C2" s="2" t="s">
        <v>22</v>
      </c>
    </row>
    <row r="3" spans="1:3">
      <c r="A3" s="3">
        <v>201901</v>
      </c>
      <c r="B3" s="1">
        <v>85</v>
      </c>
      <c r="C3" s="1"/>
    </row>
    <row r="4" spans="1:3">
      <c r="A4" s="3">
        <v>201902</v>
      </c>
      <c r="B4" s="1">
        <v>99</v>
      </c>
      <c r="C4" s="1"/>
    </row>
    <row r="5" spans="1:3">
      <c r="A5" s="3">
        <v>201903</v>
      </c>
      <c r="B5" s="1">
        <v>96</v>
      </c>
      <c r="C5" s="1"/>
    </row>
    <row r="6" spans="1:3">
      <c r="A6" s="3">
        <v>201904</v>
      </c>
      <c r="B6" s="1">
        <v>80</v>
      </c>
      <c r="C6" s="1"/>
    </row>
    <row r="7" spans="1:3">
      <c r="A7" s="3">
        <v>201905</v>
      </c>
      <c r="B7" s="1">
        <v>90</v>
      </c>
      <c r="C7" s="1"/>
    </row>
    <row r="8" spans="1:3">
      <c r="A8" s="3">
        <v>201906</v>
      </c>
      <c r="B8" s="1">
        <v>92</v>
      </c>
      <c r="C8" s="1"/>
    </row>
    <row r="9" spans="1:3">
      <c r="A9" s="3">
        <v>201907</v>
      </c>
      <c r="B9" s="1">
        <v>89</v>
      </c>
      <c r="C9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0"/>
  <sheetViews>
    <sheetView workbookViewId="0">
      <selection activeCell="C3" sqref="C3:C5"/>
    </sheetView>
  </sheetViews>
  <sheetFormatPr defaultRowHeight="17"/>
  <sheetData>
    <row r="2" spans="1:3">
      <c r="A2" s="5" t="s">
        <v>23</v>
      </c>
      <c r="B2" s="5" t="s">
        <v>24</v>
      </c>
      <c r="C2" s="5" t="s">
        <v>25</v>
      </c>
    </row>
    <row r="3" spans="1:3">
      <c r="A3" s="3">
        <v>2019001</v>
      </c>
      <c r="B3" s="3" t="s">
        <v>26</v>
      </c>
      <c r="C3" s="3"/>
    </row>
    <row r="4" spans="1:3">
      <c r="A4" s="3">
        <v>2019002</v>
      </c>
      <c r="B4" s="3" t="s">
        <v>27</v>
      </c>
      <c r="C4" s="3"/>
    </row>
    <row r="5" spans="1:3">
      <c r="A5" s="3">
        <v>2019003</v>
      </c>
      <c r="B5" s="3" t="s">
        <v>28</v>
      </c>
      <c r="C5" s="3"/>
    </row>
    <row r="7" spans="1:3">
      <c r="A7" s="5" t="s">
        <v>24</v>
      </c>
      <c r="B7" s="5" t="s">
        <v>25</v>
      </c>
    </row>
    <row r="8" spans="1:3">
      <c r="A8" s="3" t="s">
        <v>27</v>
      </c>
      <c r="B8" s="3" t="s">
        <v>29</v>
      </c>
    </row>
    <row r="9" spans="1:3">
      <c r="A9" s="3" t="s">
        <v>30</v>
      </c>
      <c r="B9" s="3" t="s">
        <v>31</v>
      </c>
    </row>
    <row r="10" spans="1:3">
      <c r="A10" s="3" t="s">
        <v>32</v>
      </c>
      <c r="B10" s="3" t="s">
        <v>33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8"/>
  <sheetViews>
    <sheetView workbookViewId="0">
      <selection activeCell="K21" sqref="K21"/>
    </sheetView>
  </sheetViews>
  <sheetFormatPr defaultRowHeight="17"/>
  <sheetData>
    <row r="2" spans="1:4">
      <c r="A2" s="5" t="s">
        <v>23</v>
      </c>
      <c r="B2" s="5" t="s">
        <v>24</v>
      </c>
      <c r="C2" s="5" t="s">
        <v>25</v>
      </c>
    </row>
    <row r="3" spans="1:4">
      <c r="A3" s="3">
        <v>2019001</v>
      </c>
      <c r="B3" s="3" t="s">
        <v>26</v>
      </c>
      <c r="C3" s="3"/>
    </row>
    <row r="4" spans="1:4">
      <c r="A4" s="3">
        <v>2019002</v>
      </c>
      <c r="B4" s="3" t="s">
        <v>27</v>
      </c>
      <c r="C4" s="3"/>
    </row>
    <row r="5" spans="1:4">
      <c r="A5" s="3">
        <v>2019003</v>
      </c>
      <c r="B5" s="3" t="s">
        <v>28</v>
      </c>
      <c r="C5" s="3"/>
    </row>
    <row r="7" spans="1:4">
      <c r="A7" s="7" t="s">
        <v>24</v>
      </c>
      <c r="B7" s="3" t="s">
        <v>27</v>
      </c>
      <c r="C7" s="3" t="s">
        <v>26</v>
      </c>
      <c r="D7" s="3" t="s">
        <v>28</v>
      </c>
    </row>
    <row r="8" spans="1:4">
      <c r="A8" s="7" t="s">
        <v>25</v>
      </c>
      <c r="B8" s="3" t="s">
        <v>29</v>
      </c>
      <c r="C8" s="3" t="s">
        <v>31</v>
      </c>
      <c r="D8" s="3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97AD-7A6B-4837-878F-EFD03A4A86CF}">
  <dimension ref="A1:M19"/>
  <sheetViews>
    <sheetView workbookViewId="0">
      <selection activeCell="A3" sqref="A3:A12"/>
    </sheetView>
  </sheetViews>
  <sheetFormatPr defaultRowHeight="17"/>
  <cols>
    <col min="1" max="1" width="9.5" customWidth="1"/>
    <col min="2" max="2" width="9" bestFit="1" customWidth="1"/>
    <col min="3" max="3" width="13.25" customWidth="1"/>
    <col min="4" max="5" width="10.33203125" customWidth="1"/>
    <col min="6" max="6" width="10.25" customWidth="1"/>
    <col min="7" max="7" width="11.83203125" bestFit="1" customWidth="1"/>
    <col min="8" max="11" width="11.08203125" customWidth="1"/>
  </cols>
  <sheetData>
    <row r="1" spans="1:13" ht="39" customHeight="1">
      <c r="A1" s="53" t="s">
        <v>84</v>
      </c>
      <c r="B1" s="53"/>
      <c r="C1" s="53"/>
      <c r="D1" s="53"/>
      <c r="E1" s="53"/>
      <c r="F1" s="53"/>
      <c r="G1" s="53"/>
    </row>
    <row r="2" spans="1:13" ht="23.25" customHeight="1" thickBot="1">
      <c r="A2" s="11" t="s">
        <v>35</v>
      </c>
      <c r="B2" s="11" t="s">
        <v>85</v>
      </c>
      <c r="C2" s="11" t="s">
        <v>86</v>
      </c>
      <c r="D2" s="11" t="s">
        <v>87</v>
      </c>
      <c r="E2" s="11" t="s">
        <v>88</v>
      </c>
      <c r="F2" s="11" t="s">
        <v>89</v>
      </c>
      <c r="G2" s="11" t="s">
        <v>90</v>
      </c>
      <c r="I2" s="12" t="s">
        <v>91</v>
      </c>
    </row>
    <row r="3" spans="1:13">
      <c r="A3" s="3" t="s">
        <v>92</v>
      </c>
      <c r="B3" s="3" t="s">
        <v>93</v>
      </c>
      <c r="C3" s="13"/>
      <c r="D3" s="14"/>
      <c r="E3" s="3">
        <v>300</v>
      </c>
      <c r="F3" s="15"/>
      <c r="G3" s="16">
        <f t="shared" ref="G3:G19" si="0">D3*(1-F3)*E3</f>
        <v>0</v>
      </c>
      <c r="I3" s="17" t="s">
        <v>88</v>
      </c>
      <c r="J3" s="18">
        <v>0</v>
      </c>
      <c r="K3" s="19">
        <v>50</v>
      </c>
      <c r="L3" s="19">
        <v>100</v>
      </c>
      <c r="M3" s="20">
        <v>200</v>
      </c>
    </row>
    <row r="4" spans="1:13" ht="17.5" thickBot="1">
      <c r="A4" s="3" t="s">
        <v>94</v>
      </c>
      <c r="B4" s="3" t="s">
        <v>95</v>
      </c>
      <c r="C4" s="13"/>
      <c r="D4" s="14"/>
      <c r="E4" s="3">
        <v>80</v>
      </c>
      <c r="F4" s="15"/>
      <c r="G4" s="16">
        <f t="shared" si="0"/>
        <v>0</v>
      </c>
      <c r="I4" s="17" t="s">
        <v>89</v>
      </c>
      <c r="J4" s="21">
        <v>0</v>
      </c>
      <c r="K4" s="22">
        <v>0.05</v>
      </c>
      <c r="L4" s="22">
        <v>0.1</v>
      </c>
      <c r="M4" s="23">
        <v>0.2</v>
      </c>
    </row>
    <row r="5" spans="1:13">
      <c r="A5" s="3" t="s">
        <v>96</v>
      </c>
      <c r="B5" s="3" t="s">
        <v>95</v>
      </c>
      <c r="C5" s="13"/>
      <c r="D5" s="14"/>
      <c r="E5" s="3">
        <v>60</v>
      </c>
      <c r="F5" s="15"/>
      <c r="G5" s="16">
        <f t="shared" si="0"/>
        <v>0</v>
      </c>
    </row>
    <row r="6" spans="1:13">
      <c r="A6" s="3" t="s">
        <v>97</v>
      </c>
      <c r="B6" s="3" t="s">
        <v>98</v>
      </c>
      <c r="C6" s="13"/>
      <c r="D6" s="14"/>
      <c r="E6" s="3">
        <v>300</v>
      </c>
      <c r="F6" s="15"/>
      <c r="G6" s="16">
        <f t="shared" si="0"/>
        <v>0</v>
      </c>
      <c r="I6" t="s">
        <v>99</v>
      </c>
    </row>
    <row r="7" spans="1:13" ht="17.5" thickBot="1">
      <c r="A7" s="3" t="s">
        <v>100</v>
      </c>
      <c r="B7" s="3" t="s">
        <v>93</v>
      </c>
      <c r="C7" s="13"/>
      <c r="D7" s="14"/>
      <c r="E7" s="3">
        <v>60</v>
      </c>
      <c r="F7" s="15"/>
      <c r="G7" s="16">
        <f t="shared" si="0"/>
        <v>0</v>
      </c>
      <c r="I7" s="24" t="s">
        <v>85</v>
      </c>
      <c r="J7" s="24" t="s">
        <v>86</v>
      </c>
      <c r="K7" s="24" t="s">
        <v>87</v>
      </c>
    </row>
    <row r="8" spans="1:13">
      <c r="A8" s="3" t="s">
        <v>101</v>
      </c>
      <c r="B8" s="3" t="s">
        <v>102</v>
      </c>
      <c r="C8" s="13"/>
      <c r="D8" s="14"/>
      <c r="E8" s="3">
        <v>210</v>
      </c>
      <c r="F8" s="15"/>
      <c r="G8" s="16">
        <f t="shared" si="0"/>
        <v>0</v>
      </c>
      <c r="I8" s="18" t="s">
        <v>95</v>
      </c>
      <c r="J8" s="25" t="s">
        <v>103</v>
      </c>
      <c r="K8" s="26">
        <v>110000</v>
      </c>
    </row>
    <row r="9" spans="1:13">
      <c r="A9" s="3" t="s">
        <v>104</v>
      </c>
      <c r="B9" s="3" t="s">
        <v>102</v>
      </c>
      <c r="C9" s="13"/>
      <c r="D9" s="14"/>
      <c r="E9" s="3">
        <v>120</v>
      </c>
      <c r="F9" s="15"/>
      <c r="G9" s="16">
        <f t="shared" si="0"/>
        <v>0</v>
      </c>
      <c r="I9" s="27" t="s">
        <v>102</v>
      </c>
      <c r="J9" s="3" t="s">
        <v>105</v>
      </c>
      <c r="K9" s="28">
        <v>85000</v>
      </c>
    </row>
    <row r="10" spans="1:13">
      <c r="A10" s="3" t="s">
        <v>106</v>
      </c>
      <c r="B10" s="3" t="s">
        <v>98</v>
      </c>
      <c r="C10" s="13"/>
      <c r="D10" s="14"/>
      <c r="E10" s="3">
        <v>110</v>
      </c>
      <c r="F10" s="15"/>
      <c r="G10" s="16">
        <f t="shared" si="0"/>
        <v>0</v>
      </c>
      <c r="I10" s="27" t="s">
        <v>93</v>
      </c>
      <c r="J10" s="3" t="s">
        <v>107</v>
      </c>
      <c r="K10" s="28">
        <v>180000</v>
      </c>
    </row>
    <row r="11" spans="1:13">
      <c r="A11" s="3" t="s">
        <v>108</v>
      </c>
      <c r="B11" s="3" t="s">
        <v>95</v>
      </c>
      <c r="C11" s="13"/>
      <c r="D11" s="14"/>
      <c r="E11" s="3">
        <v>200</v>
      </c>
      <c r="F11" s="15"/>
      <c r="G11" s="16">
        <f t="shared" si="0"/>
        <v>0</v>
      </c>
      <c r="I11" s="27" t="s">
        <v>98</v>
      </c>
      <c r="J11" s="3" t="s">
        <v>109</v>
      </c>
      <c r="K11" s="28">
        <v>90000</v>
      </c>
    </row>
    <row r="12" spans="1:13" ht="17.5" thickBot="1">
      <c r="A12" s="3" t="s">
        <v>110</v>
      </c>
      <c r="B12" s="3" t="s">
        <v>93</v>
      </c>
      <c r="C12" s="13"/>
      <c r="D12" s="14"/>
      <c r="E12" s="3">
        <v>100</v>
      </c>
      <c r="F12" s="15"/>
      <c r="G12" s="16">
        <f t="shared" si="0"/>
        <v>0</v>
      </c>
      <c r="I12" s="29" t="s">
        <v>111</v>
      </c>
      <c r="J12" s="30" t="s">
        <v>112</v>
      </c>
      <c r="K12" s="31">
        <v>140000</v>
      </c>
    </row>
    <row r="13" spans="1:13">
      <c r="A13" s="3" t="s">
        <v>113</v>
      </c>
      <c r="B13" s="3" t="s">
        <v>111</v>
      </c>
      <c r="C13" s="13"/>
      <c r="D13" s="14"/>
      <c r="E13" s="3">
        <v>210</v>
      </c>
      <c r="F13" s="15"/>
      <c r="G13" s="16">
        <f t="shared" si="0"/>
        <v>0</v>
      </c>
    </row>
    <row r="14" spans="1:13">
      <c r="A14" s="3" t="s">
        <v>114</v>
      </c>
      <c r="B14" s="3" t="s">
        <v>102</v>
      </c>
      <c r="C14" s="13"/>
      <c r="D14" s="14"/>
      <c r="E14" s="3">
        <v>120</v>
      </c>
      <c r="F14" s="15"/>
      <c r="G14" s="16">
        <f t="shared" si="0"/>
        <v>0</v>
      </c>
    </row>
    <row r="15" spans="1:13">
      <c r="A15" s="3" t="s">
        <v>115</v>
      </c>
      <c r="B15" s="3" t="s">
        <v>111</v>
      </c>
      <c r="C15" s="13"/>
      <c r="D15" s="14"/>
      <c r="E15" s="3">
        <v>20</v>
      </c>
      <c r="F15" s="15"/>
      <c r="G15" s="16">
        <f t="shared" si="0"/>
        <v>0</v>
      </c>
    </row>
    <row r="16" spans="1:13">
      <c r="A16" s="3" t="s">
        <v>116</v>
      </c>
      <c r="B16" s="3" t="s">
        <v>93</v>
      </c>
      <c r="C16" s="13"/>
      <c r="D16" s="14"/>
      <c r="E16" s="3">
        <v>50</v>
      </c>
      <c r="F16" s="15"/>
      <c r="G16" s="16">
        <f t="shared" si="0"/>
        <v>0</v>
      </c>
    </row>
    <row r="17" spans="1:7">
      <c r="A17" s="3" t="s">
        <v>117</v>
      </c>
      <c r="B17" s="3" t="s">
        <v>93</v>
      </c>
      <c r="C17" s="13"/>
      <c r="D17" s="14"/>
      <c r="E17" s="3">
        <v>20</v>
      </c>
      <c r="F17" s="15"/>
      <c r="G17" s="16">
        <f t="shared" si="0"/>
        <v>0</v>
      </c>
    </row>
    <row r="18" spans="1:7">
      <c r="A18" s="3" t="s">
        <v>118</v>
      </c>
      <c r="B18" s="3" t="s">
        <v>102</v>
      </c>
      <c r="C18" s="13"/>
      <c r="D18" s="14"/>
      <c r="E18" s="3">
        <v>180</v>
      </c>
      <c r="F18" s="15"/>
      <c r="G18" s="16">
        <f t="shared" si="0"/>
        <v>0</v>
      </c>
    </row>
    <row r="19" spans="1:7">
      <c r="A19" s="3" t="s">
        <v>119</v>
      </c>
      <c r="B19" s="3" t="s">
        <v>93</v>
      </c>
      <c r="C19" s="13"/>
      <c r="D19" s="14"/>
      <c r="E19" s="3">
        <v>20</v>
      </c>
      <c r="F19" s="15"/>
      <c r="G19" s="16">
        <f t="shared" si="0"/>
        <v>0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ED77-715D-4509-BA15-C7DD4CDDBB48}">
  <dimension ref="B2:M19"/>
  <sheetViews>
    <sheetView workbookViewId="0">
      <selection activeCell="K8" sqref="K8"/>
    </sheetView>
  </sheetViews>
  <sheetFormatPr defaultRowHeight="19.5" customHeight="1"/>
  <cols>
    <col min="2" max="2" width="10.58203125" customWidth="1"/>
    <col min="11" max="13" width="9" style="33"/>
  </cols>
  <sheetData>
    <row r="2" spans="2:13" ht="19.5" customHeight="1">
      <c r="B2" s="54" t="s">
        <v>120</v>
      </c>
      <c r="C2" s="54"/>
      <c r="D2" s="54"/>
      <c r="E2" s="54"/>
      <c r="F2" s="54"/>
      <c r="G2" s="54"/>
      <c r="H2" s="54"/>
      <c r="I2" s="54"/>
      <c r="J2" s="32"/>
    </row>
    <row r="3" spans="2:13" ht="19.5" customHeight="1" thickBot="1">
      <c r="B3" s="55"/>
      <c r="C3" s="55"/>
      <c r="D3" s="55"/>
      <c r="E3" s="55"/>
      <c r="F3" s="55"/>
      <c r="G3" s="55"/>
      <c r="H3" s="55"/>
      <c r="I3" s="55"/>
      <c r="J3" s="32"/>
    </row>
    <row r="4" spans="2:13" ht="7.5" customHeight="1"/>
    <row r="5" spans="2:13" ht="19.5" customHeight="1">
      <c r="B5" s="34" t="s">
        <v>121</v>
      </c>
      <c r="C5" s="34" t="s">
        <v>122</v>
      </c>
      <c r="D5" s="34" t="s">
        <v>123</v>
      </c>
      <c r="E5" s="34" t="s">
        <v>124</v>
      </c>
      <c r="F5" s="34" t="s">
        <v>125</v>
      </c>
      <c r="G5" s="34" t="s">
        <v>126</v>
      </c>
      <c r="H5" s="34" t="s">
        <v>127</v>
      </c>
      <c r="I5" s="34" t="s">
        <v>128</v>
      </c>
      <c r="J5" s="34" t="s">
        <v>129</v>
      </c>
      <c r="K5" s="35" t="s">
        <v>130</v>
      </c>
      <c r="M5" s="36"/>
    </row>
    <row r="6" spans="2:13" ht="19.5" customHeight="1">
      <c r="B6" s="8" t="s">
        <v>131</v>
      </c>
      <c r="C6" s="8" t="s">
        <v>132</v>
      </c>
      <c r="D6" s="37">
        <v>31</v>
      </c>
      <c r="E6" s="37">
        <v>5</v>
      </c>
      <c r="F6" s="8" t="s">
        <v>133</v>
      </c>
      <c r="G6" s="38" t="s">
        <v>134</v>
      </c>
      <c r="H6" s="38"/>
      <c r="I6" s="39"/>
      <c r="J6" s="39"/>
      <c r="K6" s="40"/>
    </row>
    <row r="7" spans="2:13" ht="19.5" customHeight="1">
      <c r="B7" s="8" t="s">
        <v>135</v>
      </c>
      <c r="C7" s="8" t="s">
        <v>136</v>
      </c>
      <c r="D7" s="37">
        <v>25</v>
      </c>
      <c r="E7" s="37">
        <v>2</v>
      </c>
      <c r="F7" s="8" t="s">
        <v>137</v>
      </c>
      <c r="G7" s="38"/>
      <c r="H7" s="38" t="s">
        <v>134</v>
      </c>
      <c r="I7" s="39"/>
      <c r="J7" s="39"/>
      <c r="K7" s="40"/>
    </row>
    <row r="8" spans="2:13" ht="19.5" customHeight="1">
      <c r="B8" s="8" t="s">
        <v>138</v>
      </c>
      <c r="C8" s="8" t="s">
        <v>136</v>
      </c>
      <c r="D8" s="37">
        <v>26</v>
      </c>
      <c r="E8" s="37">
        <v>4</v>
      </c>
      <c r="F8" s="8" t="s">
        <v>139</v>
      </c>
      <c r="G8" s="38" t="s">
        <v>134</v>
      </c>
      <c r="H8" s="38" t="s">
        <v>134</v>
      </c>
      <c r="I8" s="39"/>
      <c r="J8" s="39"/>
      <c r="K8" s="40"/>
    </row>
    <row r="9" spans="2:13" ht="19.5" customHeight="1">
      <c r="B9" s="8" t="s">
        <v>140</v>
      </c>
      <c r="C9" s="8" t="s">
        <v>132</v>
      </c>
      <c r="D9" s="37">
        <v>35</v>
      </c>
      <c r="E9" s="37">
        <v>3</v>
      </c>
      <c r="F9" s="8" t="s">
        <v>5</v>
      </c>
      <c r="G9" s="38"/>
      <c r="H9" s="38" t="s">
        <v>134</v>
      </c>
      <c r="I9" s="39"/>
      <c r="J9" s="39"/>
      <c r="K9" s="40"/>
    </row>
    <row r="10" spans="2:13" ht="19.5" customHeight="1">
      <c r="B10" s="8" t="s">
        <v>141</v>
      </c>
      <c r="C10" s="8" t="s">
        <v>132</v>
      </c>
      <c r="D10" s="37">
        <v>28</v>
      </c>
      <c r="E10" s="37">
        <v>2</v>
      </c>
      <c r="F10" s="8" t="s">
        <v>139</v>
      </c>
      <c r="G10" s="38" t="s">
        <v>134</v>
      </c>
      <c r="H10" s="38"/>
      <c r="I10" s="39"/>
      <c r="J10" s="39"/>
      <c r="K10" s="40"/>
    </row>
    <row r="11" spans="2:13" ht="19.5" customHeight="1">
      <c r="B11" s="8" t="s">
        <v>142</v>
      </c>
      <c r="C11" s="8" t="s">
        <v>136</v>
      </c>
      <c r="D11" s="37">
        <v>28</v>
      </c>
      <c r="E11" s="37">
        <v>4</v>
      </c>
      <c r="F11" s="8" t="s">
        <v>133</v>
      </c>
      <c r="G11" s="38"/>
      <c r="H11" s="38" t="s">
        <v>134</v>
      </c>
      <c r="I11" s="39"/>
      <c r="J11" s="39"/>
      <c r="K11" s="40"/>
    </row>
    <row r="12" spans="2:13" ht="19.5" customHeight="1">
      <c r="B12" s="8" t="s">
        <v>143</v>
      </c>
      <c r="C12" s="8" t="s">
        <v>136</v>
      </c>
      <c r="D12" s="37">
        <v>31</v>
      </c>
      <c r="E12" s="37">
        <v>3</v>
      </c>
      <c r="F12" s="8" t="s">
        <v>139</v>
      </c>
      <c r="G12" s="38"/>
      <c r="H12" s="38"/>
      <c r="I12" s="39"/>
      <c r="J12" s="39"/>
      <c r="K12" s="40"/>
    </row>
    <row r="13" spans="2:13" ht="19.5" customHeight="1">
      <c r="B13" s="8" t="s">
        <v>144</v>
      </c>
      <c r="C13" s="8" t="s">
        <v>132</v>
      </c>
      <c r="D13" s="37">
        <v>24</v>
      </c>
      <c r="E13" s="37">
        <v>5</v>
      </c>
      <c r="F13" s="8" t="s">
        <v>5</v>
      </c>
      <c r="G13" s="38" t="s">
        <v>134</v>
      </c>
      <c r="H13" s="38" t="s">
        <v>134</v>
      </c>
      <c r="I13" s="39"/>
      <c r="J13" s="39"/>
      <c r="K13" s="40"/>
    </row>
    <row r="14" spans="2:13" ht="19.5" customHeight="1">
      <c r="B14" s="8" t="s">
        <v>145</v>
      </c>
      <c r="C14" s="8" t="s">
        <v>132</v>
      </c>
      <c r="D14" s="37">
        <v>26</v>
      </c>
      <c r="E14" s="37">
        <v>4</v>
      </c>
      <c r="F14" s="8" t="s">
        <v>137</v>
      </c>
      <c r="G14" s="38"/>
      <c r="H14" s="38" t="s">
        <v>134</v>
      </c>
      <c r="I14" s="39"/>
      <c r="J14" s="39"/>
      <c r="K14" s="40"/>
    </row>
    <row r="19" spans="2:2" ht="19.5" customHeight="1">
      <c r="B19" s="41"/>
    </row>
  </sheetData>
  <mergeCells count="1">
    <mergeCell ref="B2:I3"/>
  </mergeCells>
  <phoneticPr fontId="2" type="noConversion"/>
  <conditionalFormatting sqref="B6:H14">
    <cfRule type="expression" dxfId="0" priority="1">
      <formula>$I6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39F0-3996-41A1-9E21-8CE4E70A7513}">
  <dimension ref="B2:H14"/>
  <sheetViews>
    <sheetView workbookViewId="0">
      <selection activeCell="N27" sqref="N27"/>
    </sheetView>
  </sheetViews>
  <sheetFormatPr defaultRowHeight="19.5" customHeight="1"/>
  <cols>
    <col min="2" max="2" width="9.75" customWidth="1"/>
    <col min="3" max="3" width="11.25" customWidth="1"/>
    <col min="4" max="4" width="2.25" bestFit="1" customWidth="1"/>
    <col min="5" max="5" width="11.25" customWidth="1"/>
  </cols>
  <sheetData>
    <row r="2" spans="2:8" ht="19.5" customHeight="1">
      <c r="B2" s="54" t="s">
        <v>146</v>
      </c>
      <c r="C2" s="54"/>
      <c r="D2" s="54"/>
      <c r="E2" s="54"/>
      <c r="F2" s="54"/>
      <c r="G2" s="54"/>
      <c r="H2" s="54"/>
    </row>
    <row r="3" spans="2:8" ht="19.5" customHeight="1" thickBot="1">
      <c r="B3" s="55"/>
      <c r="C3" s="55"/>
      <c r="D3" s="55"/>
      <c r="E3" s="55"/>
      <c r="F3" s="55"/>
      <c r="G3" s="55"/>
      <c r="H3" s="55"/>
    </row>
    <row r="4" spans="2:8" ht="7.5" customHeight="1"/>
    <row r="5" spans="2:8" ht="19.5" customHeight="1">
      <c r="B5" s="42" t="s">
        <v>147</v>
      </c>
      <c r="C5" s="56" t="s">
        <v>148</v>
      </c>
      <c r="D5" s="56"/>
      <c r="E5" s="57"/>
      <c r="F5" s="34" t="s">
        <v>149</v>
      </c>
      <c r="G5" s="34" t="s">
        <v>150</v>
      </c>
      <c r="H5" s="34" t="s">
        <v>151</v>
      </c>
    </row>
    <row r="6" spans="2:8" ht="19.5" customHeight="1">
      <c r="B6" s="43" t="s">
        <v>152</v>
      </c>
      <c r="C6" s="44">
        <v>760219</v>
      </c>
      <c r="D6" s="45" t="s">
        <v>153</v>
      </c>
      <c r="E6" s="46" t="s">
        <v>154</v>
      </c>
      <c r="F6" s="47"/>
      <c r="G6" s="47"/>
      <c r="H6" s="47"/>
    </row>
    <row r="7" spans="2:8" ht="19.5" customHeight="1">
      <c r="B7" s="43" t="s">
        <v>155</v>
      </c>
      <c r="C7" s="44">
        <v>830304</v>
      </c>
      <c r="D7" s="45" t="s">
        <v>153</v>
      </c>
      <c r="E7" s="46" t="s">
        <v>154</v>
      </c>
      <c r="F7" s="47"/>
      <c r="G7" s="47"/>
      <c r="H7" s="47"/>
    </row>
    <row r="8" spans="2:8" ht="19.5" customHeight="1">
      <c r="B8" s="43" t="s">
        <v>156</v>
      </c>
      <c r="C8" s="44">
        <v>851208</v>
      </c>
      <c r="D8" s="45" t="s">
        <v>153</v>
      </c>
      <c r="E8" s="46">
        <v>2134567</v>
      </c>
      <c r="F8" s="47"/>
      <c r="G8" s="47"/>
      <c r="H8" s="47"/>
    </row>
    <row r="9" spans="2:8" ht="19.5" customHeight="1">
      <c r="B9" s="43" t="s">
        <v>157</v>
      </c>
      <c r="C9" s="44">
        <v>860830</v>
      </c>
      <c r="D9" s="45" t="s">
        <v>153</v>
      </c>
      <c r="E9" s="46" t="s">
        <v>154</v>
      </c>
      <c r="F9" s="47"/>
      <c r="G9" s="47"/>
      <c r="H9" s="47"/>
    </row>
    <row r="10" spans="2:8" ht="19.5" customHeight="1">
      <c r="B10" s="43" t="s">
        <v>158</v>
      </c>
      <c r="C10" s="44">
        <v>920919</v>
      </c>
      <c r="D10" s="45" t="s">
        <v>153</v>
      </c>
      <c r="E10" s="46" t="s">
        <v>159</v>
      </c>
      <c r="F10" s="47"/>
      <c r="G10" s="47"/>
      <c r="H10" s="47"/>
    </row>
    <row r="11" spans="2:8" ht="19.5" customHeight="1">
      <c r="B11" s="43" t="s">
        <v>160</v>
      </c>
      <c r="C11" s="44">
        <v>860702</v>
      </c>
      <c r="D11" s="45" t="s">
        <v>153</v>
      </c>
      <c r="E11" s="46" t="s">
        <v>154</v>
      </c>
      <c r="F11" s="47"/>
      <c r="G11" s="47"/>
      <c r="H11" s="47"/>
    </row>
    <row r="12" spans="2:8" ht="19.5" customHeight="1">
      <c r="B12" s="43" t="s">
        <v>161</v>
      </c>
      <c r="C12" s="44">
        <v>930529</v>
      </c>
      <c r="D12" s="45" t="s">
        <v>153</v>
      </c>
      <c r="E12" s="46" t="s">
        <v>154</v>
      </c>
      <c r="F12" s="47"/>
      <c r="G12" s="47"/>
      <c r="H12" s="47"/>
    </row>
    <row r="13" spans="2:8" ht="19.5" customHeight="1">
      <c r="B13" s="43" t="s">
        <v>162</v>
      </c>
      <c r="C13" s="44">
        <v>910109</v>
      </c>
      <c r="D13" s="45" t="s">
        <v>153</v>
      </c>
      <c r="E13" s="46" t="s">
        <v>159</v>
      </c>
      <c r="F13" s="47"/>
      <c r="G13" s="47"/>
      <c r="H13" s="47"/>
    </row>
    <row r="14" spans="2:8" ht="19.5" customHeight="1">
      <c r="B14" s="43" t="s">
        <v>163</v>
      </c>
      <c r="C14" s="44">
        <v>890127</v>
      </c>
      <c r="D14" s="45" t="s">
        <v>153</v>
      </c>
      <c r="E14" s="46" t="s">
        <v>159</v>
      </c>
      <c r="F14" s="47"/>
      <c r="G14" s="47"/>
      <c r="H14" s="47"/>
    </row>
  </sheetData>
  <mergeCells count="2">
    <mergeCell ref="B2:H3"/>
    <mergeCell ref="C5:E5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D5"/>
  <sheetViews>
    <sheetView workbookViewId="0">
      <selection activeCell="M30" sqref="M30"/>
    </sheetView>
  </sheetViews>
  <sheetFormatPr defaultRowHeight="17"/>
  <sheetData>
    <row r="2" spans="1:4">
      <c r="A2" s="7" t="s">
        <v>72</v>
      </c>
      <c r="B2" s="7" t="s">
        <v>63</v>
      </c>
      <c r="C2" s="7" t="s">
        <v>22</v>
      </c>
      <c r="D2" s="7" t="s">
        <v>73</v>
      </c>
    </row>
    <row r="3" spans="1:4">
      <c r="A3" s="3" t="s">
        <v>64</v>
      </c>
      <c r="B3" s="3">
        <v>55</v>
      </c>
      <c r="C3" s="3">
        <f>_xlfn.RANK.EQ(B3,$B$3:$B$5)</f>
        <v>3</v>
      </c>
      <c r="D3" s="3"/>
    </row>
    <row r="4" spans="1:4">
      <c r="A4" s="3" t="s">
        <v>65</v>
      </c>
      <c r="B4" s="3">
        <v>90</v>
      </c>
      <c r="C4" s="3">
        <f>_xlfn.RANK.EQ(B4,$B$3:$B$5)</f>
        <v>1</v>
      </c>
      <c r="D4" s="3"/>
    </row>
    <row r="5" spans="1:4">
      <c r="A5" s="3" t="s">
        <v>69</v>
      </c>
      <c r="B5" s="3">
        <v>67</v>
      </c>
      <c r="C5" s="3">
        <f>_xlfn.RANK.EQ(B5,$B$3:$B$5)</f>
        <v>2</v>
      </c>
      <c r="D5" s="3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D10"/>
  <sheetViews>
    <sheetView workbookViewId="0">
      <selection activeCell="C14" sqref="C14"/>
    </sheetView>
  </sheetViews>
  <sheetFormatPr defaultRowHeight="17"/>
  <sheetData>
    <row r="2" spans="1:4">
      <c r="A2" s="7" t="s">
        <v>72</v>
      </c>
      <c r="B2" s="7" t="s">
        <v>74</v>
      </c>
    </row>
    <row r="3" spans="1:4">
      <c r="A3" s="3" t="s">
        <v>62</v>
      </c>
      <c r="B3" s="3" t="s">
        <v>64</v>
      </c>
    </row>
    <row r="4" spans="1:4">
      <c r="A4" s="3" t="s">
        <v>75</v>
      </c>
      <c r="B4" s="3" t="s">
        <v>65</v>
      </c>
    </row>
    <row r="5" spans="1:4">
      <c r="A5" s="3" t="s">
        <v>62</v>
      </c>
      <c r="B5" s="3" t="s">
        <v>66</v>
      </c>
    </row>
    <row r="6" spans="1:4">
      <c r="A6" s="3" t="s">
        <v>76</v>
      </c>
      <c r="B6" s="3" t="s">
        <v>77</v>
      </c>
    </row>
    <row r="7" spans="1:4">
      <c r="A7" s="8" t="s">
        <v>76</v>
      </c>
      <c r="B7" s="8" t="s">
        <v>78</v>
      </c>
    </row>
    <row r="8" spans="1:4">
      <c r="A8" s="8" t="s">
        <v>76</v>
      </c>
      <c r="B8" s="8" t="s">
        <v>79</v>
      </c>
    </row>
    <row r="10" spans="1:4">
      <c r="A10" s="50" t="s">
        <v>80</v>
      </c>
      <c r="B10" s="50"/>
      <c r="C10" s="50"/>
      <c r="D10" s="1"/>
    </row>
  </sheetData>
  <mergeCells count="1">
    <mergeCell ref="A10:C10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0701-BD87-4B49-A3C1-422333719822}">
  <dimension ref="A1:E13"/>
  <sheetViews>
    <sheetView tabSelected="1" workbookViewId="0">
      <selection activeCell="J9" sqref="J9"/>
    </sheetView>
  </sheetViews>
  <sheetFormatPr defaultRowHeight="17"/>
  <sheetData>
    <row r="1" spans="1:5">
      <c r="A1" t="s">
        <v>165</v>
      </c>
      <c r="B1" t="s">
        <v>166</v>
      </c>
      <c r="C1" t="s">
        <v>167</v>
      </c>
      <c r="D1" t="s">
        <v>168</v>
      </c>
      <c r="E1" t="s">
        <v>169</v>
      </c>
    </row>
    <row r="2" spans="1:5">
      <c r="A2" t="s">
        <v>170</v>
      </c>
      <c r="B2">
        <v>300</v>
      </c>
      <c r="C2">
        <v>430</v>
      </c>
      <c r="D2">
        <v>320</v>
      </c>
      <c r="E2">
        <v>90</v>
      </c>
    </row>
    <row r="3" spans="1:5">
      <c r="A3" t="s">
        <v>171</v>
      </c>
      <c r="B3">
        <v>180</v>
      </c>
      <c r="C3">
        <v>280</v>
      </c>
      <c r="D3">
        <v>250</v>
      </c>
      <c r="E3">
        <v>60</v>
      </c>
    </row>
    <row r="4" spans="1:5">
      <c r="A4" t="s">
        <v>172</v>
      </c>
      <c r="B4">
        <v>160</v>
      </c>
      <c r="C4">
        <v>250</v>
      </c>
      <c r="D4">
        <v>200</v>
      </c>
      <c r="E4">
        <v>70</v>
      </c>
    </row>
    <row r="5" spans="1:5">
      <c r="A5" t="s">
        <v>171</v>
      </c>
      <c r="B5">
        <v>220</v>
      </c>
      <c r="C5">
        <v>250</v>
      </c>
      <c r="D5">
        <v>230</v>
      </c>
      <c r="E5">
        <v>50</v>
      </c>
    </row>
    <row r="6" spans="1:5">
      <c r="A6" t="s">
        <v>178</v>
      </c>
      <c r="B6">
        <v>170</v>
      </c>
      <c r="C6">
        <v>300</v>
      </c>
      <c r="D6">
        <v>220</v>
      </c>
      <c r="E6">
        <v>80</v>
      </c>
    </row>
    <row r="7" spans="1:5">
      <c r="A7" t="s">
        <v>173</v>
      </c>
      <c r="B7">
        <v>160</v>
      </c>
      <c r="C7">
        <v>210</v>
      </c>
      <c r="D7">
        <v>150</v>
      </c>
      <c r="E7">
        <v>100</v>
      </c>
    </row>
    <row r="8" spans="1:5">
      <c r="A8" t="s">
        <v>174</v>
      </c>
      <c r="B8">
        <v>150</v>
      </c>
      <c r="C8">
        <v>200</v>
      </c>
      <c r="D8">
        <v>210</v>
      </c>
      <c r="E8">
        <v>40</v>
      </c>
    </row>
    <row r="9" spans="1:5">
      <c r="A9" t="s">
        <v>175</v>
      </c>
      <c r="B9">
        <v>120</v>
      </c>
      <c r="C9">
        <v>150</v>
      </c>
      <c r="D9">
        <v>130</v>
      </c>
      <c r="E9">
        <v>30</v>
      </c>
    </row>
    <row r="10" spans="1:5">
      <c r="A10" t="s">
        <v>176</v>
      </c>
      <c r="B10">
        <v>160</v>
      </c>
      <c r="C10">
        <v>250</v>
      </c>
      <c r="D10">
        <v>200</v>
      </c>
      <c r="E10">
        <v>50</v>
      </c>
    </row>
    <row r="12" spans="1:5">
      <c r="A12" t="s">
        <v>177</v>
      </c>
    </row>
    <row r="13" spans="1:5">
      <c r="A13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6</vt:i4>
      </vt:variant>
    </vt:vector>
  </HeadingPairs>
  <TitlesOfParts>
    <vt:vector size="25" baseType="lpstr">
      <vt:lpstr>AVERAGE</vt:lpstr>
      <vt:lpstr>MAX</vt:lpstr>
      <vt:lpstr>MIN</vt:lpstr>
      <vt:lpstr>LARGE</vt:lpstr>
      <vt:lpstr>SMALL</vt:lpstr>
      <vt:lpstr>COUNT</vt:lpstr>
      <vt:lpstr>COUNTA</vt:lpstr>
      <vt:lpstr>COUNTBLANK</vt:lpstr>
      <vt:lpstr>COUNTIF</vt:lpstr>
      <vt:lpstr>AVERAGEIF</vt:lpstr>
      <vt:lpstr>RANK</vt:lpstr>
      <vt:lpstr>VLOOKUP</vt:lpstr>
      <vt:lpstr>HLOOKUP</vt:lpstr>
      <vt:lpstr>vlookup, hlookup</vt:lpstr>
      <vt:lpstr>and, or</vt:lpstr>
      <vt:lpstr>text</vt:lpstr>
      <vt:lpstr>CHOOSE</vt:lpstr>
      <vt:lpstr>INDEX</vt:lpstr>
      <vt:lpstr>dsum</vt:lpstr>
      <vt:lpstr>근속년수</vt:lpstr>
      <vt:lpstr>나이</vt:lpstr>
      <vt:lpstr>성별</vt:lpstr>
      <vt:lpstr>엑셀</vt:lpstr>
      <vt:lpstr>외국어</vt:lpstr>
      <vt:lpstr>파포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alba17</dc:creator>
  <cp:lastModifiedBy>hena</cp:lastModifiedBy>
  <dcterms:created xsi:type="dcterms:W3CDTF">2012-07-23T13:26:38Z</dcterms:created>
  <dcterms:modified xsi:type="dcterms:W3CDTF">2025-11-21T00:55:06Z</dcterms:modified>
</cp:coreProperties>
</file>